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תקציב" sheetId="1" state="visible" r:id="rId3"/>
    <sheet name="מעקב תשלומים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<sst xmlns="http://schemas.openxmlformats.org/spreadsheetml/2006/main" count="160" uniqueCount="110">
  <si>
    <t xml:space="preserve">💍 תקציב חתונה – 20 מאי 2026 | מעקב תשלומים חלקיים</t>
  </si>
  <si>
    <t xml:space="preserve">📘 כחול = הזן ידנית  |  ⚫ שחור = נחשב אוטומטית  |  עדכן תשלום חלקי בעמודות F, H, J</t>
  </si>
  <si>
    <t xml:space="preserve">💰 עלות כוללת</t>
  </si>
  <si>
    <t xml:space="preserve">✅ שולם</t>
  </si>
  <si>
    <t xml:space="preserve">⏳ יתרה לתשלום</t>
  </si>
  <si>
    <t xml:space="preserve">📊 אחוז שולם</t>
  </si>
  <si>
    <t xml:space="preserve">קטגוריה</t>
  </si>
  <si>
    <t xml:space="preserve">ספק / שירות</t>
  </si>
  <si>
    <t xml:space="preserve">תיאור</t>
  </si>
  <si>
    <t xml:space="preserve">עלות
כוללת</t>
  </si>
  <si>
    <t xml:space="preserve">תשלום 1</t>
  </si>
  <si>
    <t xml:space="preserve">תאריך
תשלום 1</t>
  </si>
  <si>
    <t xml:space="preserve">תשלום 2</t>
  </si>
  <si>
    <t xml:space="preserve">תאריך
תשלום 2</t>
  </si>
  <si>
    <t xml:space="preserve">תשלום 3</t>
  </si>
  <si>
    <t xml:space="preserve">תאריך
תשלום 3</t>
  </si>
  <si>
    <t xml:space="preserve">תשלום 4</t>
  </si>
  <si>
    <t xml:space="preserve">סה"כ
שולם</t>
  </si>
  <si>
    <t xml:space="preserve">יתרה
נותרת</t>
  </si>
  <si>
    <t xml:space="preserve">סטטוס</t>
  </si>
  <si>
    <t xml:space="preserve">⬇ הזן נתונים בעמודות כחולות. לתשלום חלקי: מלא תשלום 1, ואחר כך תשלום 2 וכו'. הסכום הכולל ששולם ויתרה מחושבים אוטומטית.</t>
  </si>
  <si>
    <t xml:space="preserve">📍 מקום האירוע</t>
  </si>
  <si>
    <t xml:space="preserve">📍 מקום</t>
  </si>
  <si>
    <t xml:space="preserve">יקב / גן אירועים</t>
  </si>
  <si>
    <t xml:space="preserve">שכירת המקום, ישיבה חיצונית</t>
  </si>
  <si>
    <t xml:space="preserve">01/03/2026</t>
  </si>
  <si>
    <t xml:space="preserve">חניה לאורחים</t>
  </si>
  <si>
    <t xml:space="preserve">תשלום חניה באירוע</t>
  </si>
  <si>
    <t xml:space="preserve">🍽️ קייטרינג ואוכל</t>
  </si>
  <si>
    <t xml:space="preserve">🍽️ קייטרינג</t>
  </si>
  <si>
    <t xml:space="preserve">קייטרינג</t>
  </si>
  <si>
    <t xml:space="preserve">מנות – 120 אורחים</t>
  </si>
  <si>
    <t xml:space="preserve">15/02/2026</t>
  </si>
  <si>
    <t xml:space="preserve">עוגת חתונה</t>
  </si>
  <si>
    <t xml:space="preserve">עוגה מעוצבת</t>
  </si>
  <si>
    <t xml:space="preserve">🎵 מוזיקה ובידור</t>
  </si>
  <si>
    <t xml:space="preserve">🎵 מוזיקה</t>
  </si>
  <si>
    <t xml:space="preserve">DJ</t>
  </si>
  <si>
    <t xml:space="preserve">DJ לאירוע + ציוד הגברה</t>
  </si>
  <si>
    <t xml:space="preserve">Silent Disco</t>
  </si>
  <si>
    <t xml:space="preserve">80 אוזניות לאחר 23:00</t>
  </si>
  <si>
    <t xml:space="preserve">🌸 עיצוב ותאורה</t>
  </si>
  <si>
    <t xml:space="preserve">🌸 עיצוב</t>
  </si>
  <si>
    <t xml:space="preserve">פרחים ועיצוב</t>
  </si>
  <si>
    <t xml:space="preserve">חופה, שולחנות, קישוט כללי</t>
  </si>
  <si>
    <t xml:space="preserve">01/04/2026</t>
  </si>
  <si>
    <t xml:space="preserve">תאורה</t>
  </si>
  <si>
    <t xml:space="preserve">תאורת ערב ואווירה</t>
  </si>
  <si>
    <t xml:space="preserve">📸 צילום ווידאו</t>
  </si>
  <si>
    <t xml:space="preserve">📸 צילום</t>
  </si>
  <si>
    <t xml:space="preserve">צלם</t>
  </si>
  <si>
    <t xml:space="preserve">צילום סטילס לכל האירוע</t>
  </si>
  <si>
    <t xml:space="preserve">וידאוגרף</t>
  </si>
  <si>
    <t xml:space="preserve">סרט חתונה</t>
  </si>
  <si>
    <t xml:space="preserve">👗 לבוש ויופי</t>
  </si>
  <si>
    <t xml:space="preserve">👗 לבוש</t>
  </si>
  <si>
    <t xml:space="preserve">שמלת כלה</t>
  </si>
  <si>
    <t xml:space="preserve">שמלה + שינויים</t>
  </si>
  <si>
    <t xml:space="preserve">15/01/2026</t>
  </si>
  <si>
    <t xml:space="preserve">חליפת חתן</t>
  </si>
  <si>
    <t xml:space="preserve">חליפה + אביזרים</t>
  </si>
  <si>
    <t xml:space="preserve">💆 יופי</t>
  </si>
  <si>
    <t xml:space="preserve">איפור + שיער</t>
  </si>
  <si>
    <t xml:space="preserve">איפור ושיער לכלה</t>
  </si>
  <si>
    <t xml:space="preserve">🎁 שונות</t>
  </si>
  <si>
    <t xml:space="preserve">🎁 מתנות</t>
  </si>
  <si>
    <t xml:space="preserve">מתנות לאורחים</t>
  </si>
  <si>
    <t xml:space="preserve">קופסאות / ממתקים</t>
  </si>
  <si>
    <t xml:space="preserve">💌 הזמנות</t>
  </si>
  <si>
    <t xml:space="preserve">הזמנות + עיצוב גרפי</t>
  </si>
  <si>
    <t xml:space="preserve">הדפסה + עיצוב</t>
  </si>
  <si>
    <t xml:space="preserve">20/01/2026</t>
  </si>
  <si>
    <t xml:space="preserve">🚐 שונות</t>
  </si>
  <si>
    <t xml:space="preserve">הסעות</t>
  </si>
  <si>
    <t xml:space="preserve">אוטובוס הלוך ושוב</t>
  </si>
  <si>
    <t xml:space="preserve">🍹 בר</t>
  </si>
  <si>
    <t xml:space="preserve">שירות בר</t>
  </si>
  <si>
    <t xml:space="preserve">ברמן + שוטים אקטיביים</t>
  </si>
  <si>
    <t xml:space="preserve">🔒 שונות</t>
  </si>
  <si>
    <t xml:space="preserve">רישיון / ביטוח</t>
  </si>
  <si>
    <t xml:space="preserve">אישור רעש + ביטוח אירוע</t>
  </si>
  <si>
    <t xml:space="preserve">01/02/2026</t>
  </si>
  <si>
    <t xml:space="preserve">🎪 שונות</t>
  </si>
  <si>
    <t xml:space="preserve">קרן חירום</t>
  </si>
  <si>
    <t xml:space="preserve">גיבוי / הפתעות</t>
  </si>
  <si>
    <t xml:space="preserve">סה"כ</t>
  </si>
  <si>
    <t xml:space="preserve">📋 יומן תשלומים – רשום כאן כל תשלום שבוצע</t>
  </si>
  <si>
    <t xml:space="preserve">תאריך תשלום</t>
  </si>
  <si>
    <t xml:space="preserve">ספק</t>
  </si>
  <si>
    <t xml:space="preserve">סכום ששולם</t>
  </si>
  <si>
    <t xml:space="preserve">שיטת תשלום</t>
  </si>
  <si>
    <t xml:space="preserve">אסמכתא / הערה</t>
  </si>
  <si>
    <t xml:space="preserve">מס' תשלום</t>
  </si>
  <si>
    <t xml:space="preserve">העברה בנקאית</t>
  </si>
  <si>
    <t xml:space="preserve">חשבונית 1234</t>
  </si>
  <si>
    <t xml:space="preserve">חשבונית 1235</t>
  </si>
  <si>
    <t xml:space="preserve">תשלום 1 (מלא)</t>
  </si>
  <si>
    <t xml:space="preserve">רישיון ביטוח</t>
  </si>
  <si>
    <t xml:space="preserve">אשראי</t>
  </si>
  <si>
    <t xml:space="preserve">חשבונית 1236</t>
  </si>
  <si>
    <t xml:space="preserve">מקדמה – חשבונית 1237</t>
  </si>
  <si>
    <t xml:space="preserve">מקדמה – חשבונית 1238</t>
  </si>
  <si>
    <t xml:space="preserve">מקום האירוע</t>
  </si>
  <si>
    <t xml:space="preserve">מקדמה – חשבונית 1239</t>
  </si>
  <si>
    <t xml:space="preserve">מקדמה – חשבונית 1240</t>
  </si>
  <si>
    <t xml:space="preserve">מקדמה – חשבונית 1241</t>
  </si>
  <si>
    <t xml:space="preserve">הזמנות</t>
  </si>
  <si>
    <t xml:space="preserve">PayBox</t>
  </si>
  <si>
    <t xml:space="preserve">עיצוב גרפי</t>
  </si>
  <si>
    <t xml:space="preserve">סה"כ שולם (יומן)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</si>
</sst>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₪&quot;"/>
    <numFmt numFmtId="166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1E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E3A5F"/>
      <name val="Arial"/>
      <family val="0"/>
      <charset val="1"/>
    </font>
    <font>
      <b val="true"/>
      <sz val="14"/>
      <color rgb="FF1E7A1E"/>
      <name val="Arial"/>
      <family val="0"/>
      <charset val="1"/>
    </font>
    <font>
      <b val="true"/>
      <sz val="14"/>
      <color rgb="FFE67E22"/>
      <name val="Arial"/>
      <family val="0"/>
      <charset val="1"/>
    </font>
    <font>
      <b val="true"/>
      <sz val="14"/>
      <color rgb="FF2E6DA4"/>
      <name val="Arial"/>
      <family val="0"/>
      <charset val="1"/>
    </font>
    <font>
      <i val="true"/>
      <sz val="8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sz val="9"/>
      <color rgb="FF1E3A5F"/>
      <name val="Arial"/>
      <family val="0"/>
      <charset val="1"/>
    </font>
    <font>
      <sz val="9"/>
      <color rgb="FF5D6D7E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1E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6E4F0"/>
        <bgColor rgb="FFEBF5FB"/>
      </patternFill>
    </fill>
    <fill>
      <patternFill patternType="solid">
        <fgColor rgb="FF1E7A1E"/>
        <bgColor rgb="FF339966"/>
      </patternFill>
    </fill>
    <fill>
      <patternFill patternType="solid">
        <fgColor rgb="FFE67E22"/>
        <bgColor rgb="FFFF9900"/>
      </patternFill>
    </fill>
    <fill>
      <patternFill patternType="solid">
        <fgColor rgb="FF2E6DA4"/>
        <bgColor rgb="FF5D6D7E"/>
      </patternFill>
    </fill>
    <fill>
      <patternFill patternType="solid">
        <fgColor rgb="FFEBF5FB"/>
        <bgColor rgb="FFE9F7E9"/>
      </patternFill>
    </fill>
    <fill>
      <patternFill patternType="solid">
        <fgColor rgb="FFE9F7E9"/>
        <bgColor rgb="FFEBF5FB"/>
      </patternFill>
    </fill>
    <fill>
      <patternFill patternType="solid">
        <fgColor rgb="FFFEF3E6"/>
        <bgColor rgb="FFFEF9EC"/>
      </patternFill>
    </fill>
    <fill>
      <patternFill patternType="solid">
        <fgColor rgb="FFFEF9EC"/>
        <bgColor rgb="FFFEF3E6"/>
      </patternFill>
    </fill>
    <fill>
      <patternFill patternType="solid">
        <fgColor rgb="FFFFFFFF"/>
        <bgColor rgb="FFFEF9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E6DA4"/>
      </left>
      <right style="medium">
        <color rgb="FF2E6DA4"/>
      </right>
      <top style="medium">
        <color rgb="FF2E6DA4"/>
      </top>
      <bottom style="medium">
        <color rgb="FF2E6DA4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1E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EF9EC"/>
      <rgbColor rgb="FFE9F7E9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EF3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D6D7E"/>
      <rgbColor rgb="FFC9A84C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3" min="11" style="0" width="12"/>
    <col collapsed="false" customWidth="true" hidden="false" outlineLevel="0" max="14" min="14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  <c r="M4" s="6"/>
      <c r="N4" s="6"/>
    </row>
    <row r="5" customFormat="false" ht="30" hidden="false" customHeight="true" outlineLevel="0" collapsed="false">
      <c r="A5" s="7" t="n">
        <f aca="false">SUM(D13:D200)</f>
        <v>279600</v>
      </c>
      <c r="B5" s="7"/>
      <c r="C5" s="7"/>
      <c r="D5" s="8" t="n">
        <f aca="false">SUM(L13:L200)</f>
        <v>81500</v>
      </c>
      <c r="E5" s="8"/>
      <c r="F5" s="8"/>
      <c r="G5" s="9" t="n">
        <f aca="false">SUM(M13:M200)</f>
        <v>198100</v>
      </c>
      <c r="H5" s="9"/>
      <c r="I5" s="9"/>
      <c r="J5" s="10" t="n">
        <f aca="false">IFERROR(D5/A5,0)</f>
        <v>0.291487839771102</v>
      </c>
      <c r="K5" s="10"/>
      <c r="L5" s="10"/>
      <c r="M5" s="10"/>
      <c r="N5" s="10"/>
    </row>
    <row r="6" customFormat="false" ht="6" hidden="false" customHeight="true" outlineLevel="0" collapsed="false"/>
    <row r="7" customFormat="false" ht="36" hidden="false" customHeight="true" outlineLevel="0" collapsed="false">
      <c r="A7" s="11" t="s">
        <v>6</v>
      </c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</row>
    <row r="8" customFormat="false" ht="15.75" hidden="false" customHeight="true" outlineLevel="0" collapsed="false">
      <c r="A8" s="12" t="s">
        <v>20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customFormat="false" ht="19.5" hidden="false" customHeight="true" outlineLevel="0" collapsed="false">
      <c r="A9" s="13" t="s">
        <v>21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customFormat="false" ht="21.75" hidden="false" customHeight="true" outlineLevel="0" collapsed="false">
      <c r="A10" s="14" t="s">
        <v>22</v>
      </c>
      <c r="B10" s="15" t="s">
        <v>23</v>
      </c>
      <c r="C10" s="16" t="s">
        <v>24</v>
      </c>
      <c r="D10" s="17" t="n">
        <v>40000</v>
      </c>
      <c r="E10" s="18" t="n">
        <v>10000</v>
      </c>
      <c r="F10" s="19" t="s">
        <v>25</v>
      </c>
      <c r="G10" s="17"/>
      <c r="H10" s="19"/>
      <c r="I10" s="17"/>
      <c r="J10" s="19"/>
      <c r="K10" s="17"/>
      <c r="L10" s="20" t="n">
        <f aca="false">IFERROR(E10,0)+IFERROR(G10,0)+IFERROR(I10,0)+IFERROR(K10,0)</f>
        <v>10000</v>
      </c>
      <c r="M10" s="21" t="n">
        <f aca="false">IFERROR(D10-L10,0)</f>
        <v>30000</v>
      </c>
      <c r="N10" s="22" t="str">
        <f aca="false">IF(D10="","",IF(M10&lt;=0,"✅ שולם במלואו",IF(L10&gt;0,"🔄 שולם חלקית - יתרה "&amp;TEXT(M10,"#,##0")&amp;" ₪","⏳ טרם שולם")))</f>
        <v>🔄 שולם חלקית - יתרה 30,000 ₪</v>
      </c>
    </row>
    <row r="11" customFormat="false" ht="21.75" hidden="false" customHeight="true" outlineLevel="0" collapsed="false">
      <c r="A11" s="23" t="s">
        <v>22</v>
      </c>
      <c r="B11" s="24" t="s">
        <v>26</v>
      </c>
      <c r="C11" s="25" t="s">
        <v>27</v>
      </c>
      <c r="D11" s="26" t="n">
        <v>2000</v>
      </c>
      <c r="E11" s="26"/>
      <c r="F11" s="27"/>
      <c r="G11" s="26"/>
      <c r="H11" s="27"/>
      <c r="I11" s="26"/>
      <c r="J11" s="27"/>
      <c r="K11" s="26"/>
      <c r="L11" s="20" t="n">
        <f aca="false">IFERROR(E11,0)+IFERROR(G11,0)+IFERROR(I11,0)+IFERROR(K11,0)</f>
        <v>0</v>
      </c>
      <c r="M11" s="21" t="n">
        <f aca="false">IFERROR(D11-L11,0)</f>
        <v>2000</v>
      </c>
      <c r="N11" s="28" t="str">
        <f aca="false">IF(D11="","",IF(M11&lt;=0,"✅ שולם במלואו",IF(L11&gt;0,"🔄 שולם חלקית - יתרה "&amp;TEXT(M11,"#,##0")&amp;" ₪","⏳ טרם שולם")))</f>
        <v>⏳ טרם שולם</v>
      </c>
    </row>
    <row r="12" customFormat="false" ht="19.5" hidden="false" customHeight="true" outlineLevel="0" collapsed="false">
      <c r="A12" s="13" t="s">
        <v>28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customFormat="false" ht="21.75" hidden="false" customHeight="true" outlineLevel="0" collapsed="false">
      <c r="A13" s="23" t="s">
        <v>29</v>
      </c>
      <c r="B13" s="24" t="s">
        <v>30</v>
      </c>
      <c r="C13" s="25" t="s">
        <v>31</v>
      </c>
      <c r="D13" s="26" t="n">
        <v>60000</v>
      </c>
      <c r="E13" s="18" t="n">
        <v>20000</v>
      </c>
      <c r="F13" s="27" t="s">
        <v>32</v>
      </c>
      <c r="G13" s="26"/>
      <c r="H13" s="27"/>
      <c r="I13" s="26"/>
      <c r="J13" s="27"/>
      <c r="K13" s="26"/>
      <c r="L13" s="20" t="n">
        <f aca="false">IFERROR(E13,0)+IFERROR(G13,0)+IFERROR(I13,0)+IFERROR(K13,0)</f>
        <v>20000</v>
      </c>
      <c r="M13" s="21" t="n">
        <f aca="false">IFERROR(D13-L13,0)</f>
        <v>40000</v>
      </c>
      <c r="N13" s="28" t="str">
        <f aca="false">IF(D13="","",IF(M13&lt;=0,"✅ שולם במלואו",IF(L13&gt;0,"🔄 שולם חלקית - יתרה "&amp;TEXT(M13,"#,##0")&amp;" ₪","⏳ טרם שולם")))</f>
        <v>🔄 שולם חלקית - יתרה 40,000 ₪</v>
      </c>
    </row>
    <row r="14" customFormat="false" ht="21.75" hidden="false" customHeight="true" outlineLevel="0" collapsed="false">
      <c r="A14" s="14" t="s">
        <v>29</v>
      </c>
      <c r="B14" s="15" t="s">
        <v>33</v>
      </c>
      <c r="C14" s="16" t="s">
        <v>34</v>
      </c>
      <c r="D14" s="17" t="n">
        <v>3500</v>
      </c>
      <c r="E14" s="17"/>
      <c r="F14" s="19"/>
      <c r="G14" s="17"/>
      <c r="H14" s="19"/>
      <c r="I14" s="17"/>
      <c r="J14" s="19"/>
      <c r="K14" s="17"/>
      <c r="L14" s="20" t="n">
        <f aca="false">IFERROR(E14,0)+IFERROR(G14,0)+IFERROR(I14,0)+IFERROR(K14,0)</f>
        <v>0</v>
      </c>
      <c r="M14" s="21" t="n">
        <f aca="false">IFERROR(D14-L14,0)</f>
        <v>3500</v>
      </c>
      <c r="N14" s="22" t="str">
        <f aca="false">IF(D14="","",IF(M14&lt;=0,"✅ שולם במלואו",IF(L14&gt;0,"🔄 שולם חלקית - יתרה "&amp;TEXT(M14,"#,##0")&amp;" ₪","⏳ טרם שולם")))</f>
        <v>⏳ טרם שולם</v>
      </c>
    </row>
    <row r="15" customFormat="false" ht="19.5" hidden="false" customHeight="true" outlineLevel="0" collapsed="false">
      <c r="A15" s="13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customFormat="false" ht="21.75" hidden="false" customHeight="true" outlineLevel="0" collapsed="false">
      <c r="A16" s="14" t="s">
        <v>36</v>
      </c>
      <c r="B16" s="15" t="s">
        <v>37</v>
      </c>
      <c r="C16" s="16" t="s">
        <v>38</v>
      </c>
      <c r="D16" s="17" t="n">
        <v>5000</v>
      </c>
      <c r="E16" s="18" t="n">
        <v>1500</v>
      </c>
      <c r="F16" s="19" t="s">
        <v>25</v>
      </c>
      <c r="G16" s="17"/>
      <c r="H16" s="19"/>
      <c r="I16" s="17"/>
      <c r="J16" s="19"/>
      <c r="K16" s="17"/>
      <c r="L16" s="20" t="n">
        <f aca="false">IFERROR(E16,0)+IFERROR(G16,0)+IFERROR(I16,0)+IFERROR(K16,0)</f>
        <v>1500</v>
      </c>
      <c r="M16" s="21" t="n">
        <f aca="false">IFERROR(D16-L16,0)</f>
        <v>3500</v>
      </c>
      <c r="N16" s="22" t="str">
        <f aca="false">IF(D16="","",IF(M16&lt;=0,"✅ שולם במלואו",IF(L16&gt;0,"🔄 שולם חלקית - יתרה "&amp;TEXT(M16,"#,##0")&amp;" ₪","⏳ טרם שולם")))</f>
        <v>🔄 שולם חלקית - יתרה 3,500 ₪</v>
      </c>
    </row>
    <row r="17" customFormat="false" ht="21.75" hidden="false" customHeight="true" outlineLevel="0" collapsed="false">
      <c r="A17" s="23" t="s">
        <v>36</v>
      </c>
      <c r="B17" s="24" t="s">
        <v>39</v>
      </c>
      <c r="C17" s="25" t="s">
        <v>40</v>
      </c>
      <c r="D17" s="26" t="n">
        <v>2800</v>
      </c>
      <c r="E17" s="26"/>
      <c r="F17" s="27"/>
      <c r="G17" s="26"/>
      <c r="H17" s="27"/>
      <c r="I17" s="26"/>
      <c r="J17" s="27"/>
      <c r="K17" s="26"/>
      <c r="L17" s="20" t="n">
        <f aca="false">IFERROR(E17,0)+IFERROR(G17,0)+IFERROR(I17,0)+IFERROR(K17,0)</f>
        <v>0</v>
      </c>
      <c r="M17" s="21" t="n">
        <f aca="false">IFERROR(D17-L17,0)</f>
        <v>2800</v>
      </c>
      <c r="N17" s="28" t="str">
        <f aca="false">IF(D17="","",IF(M17&lt;=0,"✅ שולם במלואו",IF(L17&gt;0,"🔄 שולם חלקית - יתרה "&amp;TEXT(M17,"#,##0")&amp;" ₪","⏳ טרם שולם")))</f>
        <v>⏳ טרם שולם</v>
      </c>
    </row>
    <row r="18" customFormat="false" ht="19.5" hidden="false" customHeight="true" outlineLevel="0" collapsed="false">
      <c r="A18" s="13" t="s">
        <v>41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customFormat="false" ht="21.75" hidden="false" customHeight="true" outlineLevel="0" collapsed="false">
      <c r="A19" s="23" t="s">
        <v>42</v>
      </c>
      <c r="B19" s="24" t="s">
        <v>43</v>
      </c>
      <c r="C19" s="25" t="s">
        <v>44</v>
      </c>
      <c r="D19" s="26" t="n">
        <v>8000</v>
      </c>
      <c r="E19" s="18" t="n">
        <v>3000</v>
      </c>
      <c r="F19" s="27" t="s">
        <v>45</v>
      </c>
      <c r="G19" s="26"/>
      <c r="H19" s="27"/>
      <c r="I19" s="26"/>
      <c r="J19" s="27"/>
      <c r="K19" s="26"/>
      <c r="L19" s="20" t="n">
        <f aca="false">IFERROR(E19,0)+IFERROR(G19,0)+IFERROR(I19,0)+IFERROR(K19,0)</f>
        <v>3000</v>
      </c>
      <c r="M19" s="21" t="n">
        <f aca="false">IFERROR(D19-L19,0)</f>
        <v>5000</v>
      </c>
      <c r="N19" s="28" t="str">
        <f aca="false">IF(D19="","",IF(M19&lt;=0,"✅ שולם במלואו",IF(L19&gt;0,"🔄 שולם חלקית - יתרה "&amp;TEXT(M19,"#,##0")&amp;" ₪","⏳ טרם שולם")))</f>
        <v>🔄 שולם חלקית - יתרה 5,000 ₪</v>
      </c>
    </row>
    <row r="20" customFormat="false" ht="21.75" hidden="false" customHeight="true" outlineLevel="0" collapsed="false">
      <c r="A20" s="14" t="s">
        <v>42</v>
      </c>
      <c r="B20" s="15" t="s">
        <v>46</v>
      </c>
      <c r="C20" s="16" t="s">
        <v>47</v>
      </c>
      <c r="D20" s="17" t="n">
        <v>3000</v>
      </c>
      <c r="E20" s="17"/>
      <c r="F20" s="19"/>
      <c r="G20" s="17"/>
      <c r="H20" s="19"/>
      <c r="I20" s="17"/>
      <c r="J20" s="19"/>
      <c r="K20" s="17"/>
      <c r="L20" s="20" t="n">
        <f aca="false">IFERROR(E20,0)+IFERROR(G20,0)+IFERROR(I20,0)+IFERROR(K20,0)</f>
        <v>0</v>
      </c>
      <c r="M20" s="21" t="n">
        <f aca="false">IFERROR(D20-L20,0)</f>
        <v>3000</v>
      </c>
      <c r="N20" s="22" t="str">
        <f aca="false">IF(D20="","",IF(M20&lt;=0,"✅ שולם במלואו",IF(L20&gt;0,"🔄 שולם חלקית - יתרה "&amp;TEXT(M20,"#,##0")&amp;" ₪","⏳ טרם שולם")))</f>
        <v>⏳ טרם שולם</v>
      </c>
    </row>
    <row r="21" customFormat="false" ht="19.5" hidden="false" customHeight="true" outlineLevel="0" collapsed="false">
      <c r="A21" s="13" t="s">
        <v>48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customFormat="false" ht="21.75" hidden="false" customHeight="true" outlineLevel="0" collapsed="false">
      <c r="A22" s="14" t="s">
        <v>49</v>
      </c>
      <c r="B22" s="15" t="s">
        <v>50</v>
      </c>
      <c r="C22" s="16" t="s">
        <v>51</v>
      </c>
      <c r="D22" s="17" t="n">
        <v>7000</v>
      </c>
      <c r="E22" s="18" t="n">
        <v>2000</v>
      </c>
      <c r="F22" s="19" t="s">
        <v>25</v>
      </c>
      <c r="G22" s="17"/>
      <c r="H22" s="19"/>
      <c r="I22" s="17"/>
      <c r="J22" s="19"/>
      <c r="K22" s="17"/>
      <c r="L22" s="20" t="n">
        <f aca="false">IFERROR(E22,0)+IFERROR(G22,0)+IFERROR(I22,0)+IFERROR(K22,0)</f>
        <v>2000</v>
      </c>
      <c r="M22" s="21" t="n">
        <f aca="false">IFERROR(D22-L22,0)</f>
        <v>5000</v>
      </c>
      <c r="N22" s="22" t="str">
        <f aca="false">IF(D22="","",IF(M22&lt;=0,"✅ שולם במלואו",IF(L22&gt;0,"🔄 שולם חלקית - יתרה "&amp;TEXT(M22,"#,##0")&amp;" ₪","⏳ טרם שולם")))</f>
        <v>🔄 שולם חלקית - יתרה 5,000 ₪</v>
      </c>
    </row>
    <row r="23" customFormat="false" ht="21.75" hidden="false" customHeight="true" outlineLevel="0" collapsed="false">
      <c r="A23" s="23" t="s">
        <v>49</v>
      </c>
      <c r="B23" s="24" t="s">
        <v>52</v>
      </c>
      <c r="C23" s="25" t="s">
        <v>53</v>
      </c>
      <c r="D23" s="26" t="n">
        <v>4500</v>
      </c>
      <c r="E23" s="18" t="n">
        <v>1500</v>
      </c>
      <c r="F23" s="27" t="s">
        <v>25</v>
      </c>
      <c r="G23" s="26"/>
      <c r="H23" s="27"/>
      <c r="I23" s="26"/>
      <c r="J23" s="27"/>
      <c r="K23" s="26"/>
      <c r="L23" s="20" t="n">
        <f aca="false">IFERROR(E23,0)+IFERROR(G23,0)+IFERROR(I23,0)+IFERROR(K23,0)</f>
        <v>1500</v>
      </c>
      <c r="M23" s="21" t="n">
        <f aca="false">IFERROR(D23-L23,0)</f>
        <v>3000</v>
      </c>
      <c r="N23" s="28" t="str">
        <f aca="false">IF(D23="","",IF(M23&lt;=0,"✅ שולם במלואו",IF(L23&gt;0,"🔄 שולם חלקית - יתרה "&amp;TEXT(M23,"#,##0")&amp;" ₪","⏳ טרם שולם")))</f>
        <v>🔄 שולם חלקית - יתרה 3,000 ₪</v>
      </c>
    </row>
    <row r="24" customFormat="false" ht="19.5" hidden="false" customHeight="true" outlineLevel="0" collapsed="false">
      <c r="A24" s="13" t="s">
        <v>54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customFormat="false" ht="21.75" hidden="false" customHeight="true" outlineLevel="0" collapsed="false">
      <c r="A25" s="23" t="s">
        <v>55</v>
      </c>
      <c r="B25" s="24" t="s">
        <v>56</v>
      </c>
      <c r="C25" s="25" t="s">
        <v>57</v>
      </c>
      <c r="D25" s="26" t="n">
        <v>5000</v>
      </c>
      <c r="E25" s="18" t="n">
        <v>2500</v>
      </c>
      <c r="F25" s="27" t="s">
        <v>58</v>
      </c>
      <c r="G25" s="26"/>
      <c r="H25" s="27"/>
      <c r="I25" s="26"/>
      <c r="J25" s="27"/>
      <c r="K25" s="26"/>
      <c r="L25" s="20" t="n">
        <f aca="false">IFERROR(E25,0)+IFERROR(G25,0)+IFERROR(I25,0)+IFERROR(K25,0)</f>
        <v>2500</v>
      </c>
      <c r="M25" s="21" t="n">
        <f aca="false">IFERROR(D25-L25,0)</f>
        <v>2500</v>
      </c>
      <c r="N25" s="28" t="str">
        <f aca="false">IF(D25="","",IF(M25&lt;=0,"✅ שולם במלואו",IF(L25&gt;0,"🔄 שולם חלקית - יתרה "&amp;TEXT(M25,"#,##0")&amp;" ₪","⏳ טרם שולם")))</f>
        <v>🔄 שולם חלקית - יתרה 2,500 ₪</v>
      </c>
    </row>
    <row r="26" customFormat="false" ht="21.75" hidden="false" customHeight="true" outlineLevel="0" collapsed="false">
      <c r="A26" s="14" t="s">
        <v>55</v>
      </c>
      <c r="B26" s="15" t="s">
        <v>59</v>
      </c>
      <c r="C26" s="16" t="s">
        <v>60</v>
      </c>
      <c r="D26" s="17" t="n">
        <v>2000</v>
      </c>
      <c r="E26" s="18" t="n">
        <v>2000</v>
      </c>
      <c r="F26" s="19" t="s">
        <v>58</v>
      </c>
      <c r="G26" s="17"/>
      <c r="H26" s="19"/>
      <c r="I26" s="17"/>
      <c r="J26" s="19"/>
      <c r="K26" s="17"/>
      <c r="L26" s="20" t="n">
        <f aca="false">IFERROR(E26,0)+IFERROR(G26,0)+IFERROR(I26,0)+IFERROR(K26,0)</f>
        <v>2000</v>
      </c>
      <c r="M26" s="21" t="n">
        <f aca="false">IFERROR(D26-L26,0)</f>
        <v>0</v>
      </c>
      <c r="N26" s="22" t="str">
        <f aca="false">IF(D26="","",IF(M26&lt;=0,"✅ שולם במלואו",IF(L26&gt;0,"🔄 שולם חלקית - יתרה "&amp;TEXT(M26,"#,##0")&amp;" ₪","⏳ טרם שולם")))</f>
        <v>✅ שולם במלואו</v>
      </c>
    </row>
    <row r="27" customFormat="false" ht="21.75" hidden="false" customHeight="true" outlineLevel="0" collapsed="false">
      <c r="A27" s="23" t="s">
        <v>61</v>
      </c>
      <c r="B27" s="24" t="s">
        <v>62</v>
      </c>
      <c r="C27" s="25" t="s">
        <v>63</v>
      </c>
      <c r="D27" s="26" t="n">
        <v>2000</v>
      </c>
      <c r="E27" s="26"/>
      <c r="F27" s="27"/>
      <c r="G27" s="26"/>
      <c r="H27" s="27"/>
      <c r="I27" s="26"/>
      <c r="J27" s="27"/>
      <c r="K27" s="26"/>
      <c r="L27" s="20" t="n">
        <f aca="false">IFERROR(E27,0)+IFERROR(G27,0)+IFERROR(I27,0)+IFERROR(K27,0)</f>
        <v>0</v>
      </c>
      <c r="M27" s="21" t="n">
        <f aca="false">IFERROR(D27-L27,0)</f>
        <v>2000</v>
      </c>
      <c r="N27" s="28" t="str">
        <f aca="false">IF(D27="","",IF(M27&lt;=0,"✅ שולם במלואו",IF(L27&gt;0,"🔄 שולם חלקית - יתרה "&amp;TEXT(M27,"#,##0")&amp;" ₪","⏳ טרם שולם")))</f>
        <v>⏳ טרם שולם</v>
      </c>
    </row>
    <row r="28" customFormat="false" ht="19.5" hidden="false" customHeight="true" outlineLevel="0" collapsed="false">
      <c r="A28" s="13" t="s">
        <v>64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customFormat="false" ht="21.75" hidden="false" customHeight="true" outlineLevel="0" collapsed="false">
      <c r="A29" s="23" t="s">
        <v>65</v>
      </c>
      <c r="B29" s="24" t="s">
        <v>66</v>
      </c>
      <c r="C29" s="25" t="s">
        <v>67</v>
      </c>
      <c r="D29" s="26" t="n">
        <v>2500</v>
      </c>
      <c r="E29" s="26"/>
      <c r="F29" s="27"/>
      <c r="G29" s="26"/>
      <c r="H29" s="27"/>
      <c r="I29" s="26"/>
      <c r="J29" s="27"/>
      <c r="K29" s="26"/>
      <c r="L29" s="20" t="n">
        <f aca="false">IFERROR(E29,0)+IFERROR(G29,0)+IFERROR(I29,0)+IFERROR(K29,0)</f>
        <v>0</v>
      </c>
      <c r="M29" s="21" t="n">
        <f aca="false">IFERROR(D29-L29,0)</f>
        <v>2500</v>
      </c>
      <c r="N29" s="28" t="str">
        <f aca="false">IF(D29="","",IF(M29&lt;=0,"✅ שולם במלואו",IF(L29&gt;0,"🔄 שולם חלקית - יתרה "&amp;TEXT(M29,"#,##0")&amp;" ₪","⏳ טרם שולם")))</f>
        <v>⏳ טרם שולם</v>
      </c>
    </row>
    <row r="30" customFormat="false" ht="21.75" hidden="false" customHeight="true" outlineLevel="0" collapsed="false">
      <c r="A30" s="14" t="s">
        <v>68</v>
      </c>
      <c r="B30" s="15" t="s">
        <v>69</v>
      </c>
      <c r="C30" s="16" t="s">
        <v>70</v>
      </c>
      <c r="D30" s="17" t="n">
        <v>1500</v>
      </c>
      <c r="E30" s="18" t="n">
        <v>750</v>
      </c>
      <c r="F30" s="19" t="s">
        <v>71</v>
      </c>
      <c r="G30" s="17"/>
      <c r="H30" s="19"/>
      <c r="I30" s="17"/>
      <c r="J30" s="19"/>
      <c r="K30" s="17"/>
      <c r="L30" s="20" t="n">
        <f aca="false">IFERROR(E30,0)+IFERROR(G30,0)+IFERROR(I30,0)+IFERROR(K30,0)</f>
        <v>750</v>
      </c>
      <c r="M30" s="21" t="n">
        <f aca="false">IFERROR(D30-L30,0)</f>
        <v>750</v>
      </c>
      <c r="N30" s="22" t="str">
        <f aca="false">IF(D30="","",IF(M30&lt;=0,"✅ שולם במלואו",IF(L30&gt;0,"🔄 שולם חלקית - יתרה "&amp;TEXT(M30,"#,##0")&amp;" ₪","⏳ טרם שולם")))</f>
        <v>🔄 שולם חלקית - יתרה 750 ₪</v>
      </c>
    </row>
    <row r="31" customFormat="false" ht="21.75" hidden="false" customHeight="true" outlineLevel="0" collapsed="false">
      <c r="A31" s="23" t="s">
        <v>72</v>
      </c>
      <c r="B31" s="24" t="s">
        <v>73</v>
      </c>
      <c r="C31" s="25" t="s">
        <v>74</v>
      </c>
      <c r="D31" s="26" t="n">
        <v>2500</v>
      </c>
      <c r="E31" s="26"/>
      <c r="F31" s="27"/>
      <c r="G31" s="26"/>
      <c r="H31" s="27"/>
      <c r="I31" s="26"/>
      <c r="J31" s="27"/>
      <c r="K31" s="26"/>
      <c r="L31" s="20" t="n">
        <f aca="false">IFERROR(E31,0)+IFERROR(G31,0)+IFERROR(I31,0)+IFERROR(K31,0)</f>
        <v>0</v>
      </c>
      <c r="M31" s="21" t="n">
        <f aca="false">IFERROR(D31-L31,0)</f>
        <v>2500</v>
      </c>
      <c r="N31" s="28" t="str">
        <f aca="false">IF(D31="","",IF(M31&lt;=0,"✅ שולם במלואו",IF(L31&gt;0,"🔄 שולם חלקית - יתרה "&amp;TEXT(M31,"#,##0")&amp;" ₪","⏳ טרם שולם")))</f>
        <v>⏳ טרם שולם</v>
      </c>
    </row>
    <row r="32" customFormat="false" ht="21.75" hidden="false" customHeight="true" outlineLevel="0" collapsed="false">
      <c r="A32" s="14" t="s">
        <v>75</v>
      </c>
      <c r="B32" s="15" t="s">
        <v>76</v>
      </c>
      <c r="C32" s="16" t="s">
        <v>77</v>
      </c>
      <c r="D32" s="17" t="n">
        <v>6000</v>
      </c>
      <c r="E32" s="18" t="n">
        <v>2000</v>
      </c>
      <c r="F32" s="19" t="s">
        <v>45</v>
      </c>
      <c r="G32" s="17"/>
      <c r="H32" s="19"/>
      <c r="I32" s="17"/>
      <c r="J32" s="19"/>
      <c r="K32" s="17"/>
      <c r="L32" s="20" t="n">
        <f aca="false">IFERROR(E32,0)+IFERROR(G32,0)+IFERROR(I32,0)+IFERROR(K32,0)</f>
        <v>2000</v>
      </c>
      <c r="M32" s="21" t="n">
        <f aca="false">IFERROR(D32-L32,0)</f>
        <v>4000</v>
      </c>
      <c r="N32" s="22" t="str">
        <f aca="false">IF(D32="","",IF(M32&lt;=0,"✅ שולם במלואו",IF(L32&gt;0,"🔄 שולם חלקית - יתרה "&amp;TEXT(M32,"#,##0")&amp;" ₪","⏳ טרם שולם")))</f>
        <v>🔄 שולם חלקית - יתרה 4,000 ₪</v>
      </c>
    </row>
    <row r="33" customFormat="false" ht="21.75" hidden="false" customHeight="true" outlineLevel="0" collapsed="false">
      <c r="A33" s="23" t="s">
        <v>78</v>
      </c>
      <c r="B33" s="24" t="s">
        <v>79</v>
      </c>
      <c r="C33" s="25" t="s">
        <v>80</v>
      </c>
      <c r="D33" s="26" t="n">
        <v>500</v>
      </c>
      <c r="E33" s="18" t="n">
        <v>500</v>
      </c>
      <c r="F33" s="27" t="s">
        <v>81</v>
      </c>
      <c r="G33" s="26"/>
      <c r="H33" s="27"/>
      <c r="I33" s="26"/>
      <c r="J33" s="27"/>
      <c r="K33" s="26"/>
      <c r="L33" s="20" t="n">
        <f aca="false">IFERROR(E33,0)+IFERROR(G33,0)+IFERROR(I33,0)+IFERROR(K33,0)</f>
        <v>500</v>
      </c>
      <c r="M33" s="21" t="n">
        <f aca="false">IFERROR(D33-L33,0)</f>
        <v>0</v>
      </c>
      <c r="N33" s="28" t="str">
        <f aca="false">IF(D33="","",IF(M33&lt;=0,"✅ שולם במלואו",IF(L33&gt;0,"🔄 שולם חלקית - יתרה "&amp;TEXT(M33,"#,##0")&amp;" ₪","⏳ טרם שולם")))</f>
        <v>✅ שולם במלואו</v>
      </c>
    </row>
    <row r="34" customFormat="false" ht="21.75" hidden="false" customHeight="true" outlineLevel="0" collapsed="false">
      <c r="A34" s="14" t="s">
        <v>82</v>
      </c>
      <c r="B34" s="15" t="s">
        <v>83</v>
      </c>
      <c r="C34" s="16" t="s">
        <v>84</v>
      </c>
      <c r="D34" s="17" t="n">
        <v>3000</v>
      </c>
      <c r="E34" s="17"/>
      <c r="F34" s="19"/>
      <c r="G34" s="17"/>
      <c r="H34" s="19"/>
      <c r="I34" s="17"/>
      <c r="J34" s="19"/>
      <c r="K34" s="17"/>
      <c r="L34" s="20" t="n">
        <f aca="false">IFERROR(E34,0)+IFERROR(G34,0)+IFERROR(I34,0)+IFERROR(K34,0)</f>
        <v>0</v>
      </c>
      <c r="M34" s="21" t="n">
        <f aca="false">IFERROR(D34-L34,0)</f>
        <v>3000</v>
      </c>
      <c r="N34" s="22" t="str">
        <f aca="false">IF(D34="","",IF(M34&lt;=0,"✅ שולם במלואו",IF(L34&gt;0,"🔄 שולם חלקית - יתרה "&amp;TEXT(M34,"#,##0")&amp;" ₪","⏳ טרם שולם")))</f>
        <v>⏳ טרם שולם</v>
      </c>
    </row>
    <row r="35" customFormat="false" ht="27.75" hidden="false" customHeight="true" outlineLevel="0" collapsed="false">
      <c r="A35" s="29" t="s">
        <v>85</v>
      </c>
      <c r="B35" s="29"/>
      <c r="C35" s="29"/>
      <c r="D35" s="30" t="n">
        <f aca="false">SUMIF(A9:A34,"&lt;&gt;__*",D9:D34)</f>
        <v>160800</v>
      </c>
      <c r="E35" s="31"/>
      <c r="F35" s="31"/>
      <c r="G35" s="31"/>
      <c r="H35" s="31"/>
      <c r="I35" s="31"/>
      <c r="J35" s="31"/>
      <c r="K35" s="31"/>
      <c r="L35" s="30" t="n">
        <f aca="false">SUM(L9:L34)</f>
        <v>45750</v>
      </c>
      <c r="M35" s="30" t="n">
        <f aca="false">SUM(M9:M34)</f>
        <v>115050</v>
      </c>
      <c r="N35" s="31"/>
    </row>
  </sheetData>
  <mergeCells count="19">
    <mergeCell ref="A1:N1"/>
    <mergeCell ref="A2:N2"/>
    <mergeCell ref="A4:C4"/>
    <mergeCell ref="D4:F4"/>
    <mergeCell ref="G4:I4"/>
    <mergeCell ref="J4:N4"/>
    <mergeCell ref="A5:C5"/>
    <mergeCell ref="D5:F5"/>
    <mergeCell ref="G5:I5"/>
    <mergeCell ref="J5:N5"/>
    <mergeCell ref="A8:N8"/>
    <mergeCell ref="A9:N9"/>
    <mergeCell ref="A12:N12"/>
    <mergeCell ref="A15:N15"/>
    <mergeCell ref="A18:N18"/>
    <mergeCell ref="A21:N21"/>
    <mergeCell ref="A24:N24"/>
    <mergeCell ref="A28:N28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32" t="s">
        <v>86</v>
      </c>
      <c r="B1" s="32"/>
      <c r="C1" s="32"/>
      <c r="D1" s="32"/>
      <c r="E1" s="32"/>
      <c r="F1" s="32"/>
      <c r="G1" s="32"/>
    </row>
    <row r="2" customFormat="false" ht="27.75" hidden="false" customHeight="true" outlineLevel="0" collapsed="false">
      <c r="A2" s="33" t="s">
        <v>87</v>
      </c>
      <c r="B2" s="33" t="s">
        <v>88</v>
      </c>
      <c r="C2" s="33" t="s">
        <v>89</v>
      </c>
      <c r="D2" s="33" t="s">
        <v>90</v>
      </c>
      <c r="E2" s="33" t="s">
        <v>91</v>
      </c>
      <c r="F2" s="33" t="s">
        <v>6</v>
      </c>
      <c r="G2" s="33" t="s">
        <v>92</v>
      </c>
    </row>
    <row r="3" customFormat="false" ht="19.5" hidden="false" customHeight="true" outlineLevel="0" collapsed="false">
      <c r="A3" s="34" t="s">
        <v>71</v>
      </c>
      <c r="B3" s="35" t="s">
        <v>56</v>
      </c>
      <c r="C3" s="36" t="n">
        <v>2500</v>
      </c>
      <c r="D3" s="34" t="s">
        <v>93</v>
      </c>
      <c r="E3" s="35" t="s">
        <v>94</v>
      </c>
      <c r="F3" s="34" t="s">
        <v>55</v>
      </c>
      <c r="G3" s="34" t="s">
        <v>10</v>
      </c>
    </row>
    <row r="4" customFormat="false" ht="19.5" hidden="false" customHeight="true" outlineLevel="0" collapsed="false">
      <c r="A4" s="37" t="s">
        <v>71</v>
      </c>
      <c r="B4" s="38" t="s">
        <v>59</v>
      </c>
      <c r="C4" s="36" t="n">
        <v>2000</v>
      </c>
      <c r="D4" s="37" t="s">
        <v>93</v>
      </c>
      <c r="E4" s="38" t="s">
        <v>95</v>
      </c>
      <c r="F4" s="37" t="s">
        <v>55</v>
      </c>
      <c r="G4" s="37" t="s">
        <v>96</v>
      </c>
    </row>
    <row r="5" customFormat="false" ht="19.5" hidden="false" customHeight="true" outlineLevel="0" collapsed="false">
      <c r="A5" s="34" t="s">
        <v>81</v>
      </c>
      <c r="B5" s="35" t="s">
        <v>97</v>
      </c>
      <c r="C5" s="36" t="n">
        <v>500</v>
      </c>
      <c r="D5" s="34" t="s">
        <v>98</v>
      </c>
      <c r="E5" s="35" t="s">
        <v>99</v>
      </c>
      <c r="F5" s="34" t="s">
        <v>78</v>
      </c>
      <c r="G5" s="34" t="s">
        <v>96</v>
      </c>
    </row>
    <row r="6" customFormat="false" ht="19.5" hidden="false" customHeight="true" outlineLevel="0" collapsed="false">
      <c r="A6" s="37" t="s">
        <v>32</v>
      </c>
      <c r="B6" s="38" t="s">
        <v>30</v>
      </c>
      <c r="C6" s="36" t="n">
        <v>20000</v>
      </c>
      <c r="D6" s="37" t="s">
        <v>93</v>
      </c>
      <c r="E6" s="38" t="s">
        <v>100</v>
      </c>
      <c r="F6" s="37" t="s">
        <v>29</v>
      </c>
      <c r="G6" s="37" t="s">
        <v>10</v>
      </c>
    </row>
    <row r="7" customFormat="false" ht="19.5" hidden="false" customHeight="true" outlineLevel="0" collapsed="false">
      <c r="A7" s="34" t="s">
        <v>25</v>
      </c>
      <c r="B7" s="35" t="s">
        <v>37</v>
      </c>
      <c r="C7" s="36" t="n">
        <v>1500</v>
      </c>
      <c r="D7" s="34" t="s">
        <v>93</v>
      </c>
      <c r="E7" s="35" t="s">
        <v>101</v>
      </c>
      <c r="F7" s="34" t="s">
        <v>36</v>
      </c>
      <c r="G7" s="34" t="s">
        <v>10</v>
      </c>
    </row>
    <row r="8" customFormat="false" ht="19.5" hidden="false" customHeight="true" outlineLevel="0" collapsed="false">
      <c r="A8" s="37" t="s">
        <v>25</v>
      </c>
      <c r="B8" s="38" t="s">
        <v>102</v>
      </c>
      <c r="C8" s="36" t="n">
        <v>10000</v>
      </c>
      <c r="D8" s="37" t="s">
        <v>93</v>
      </c>
      <c r="E8" s="38" t="s">
        <v>103</v>
      </c>
      <c r="F8" s="37" t="s">
        <v>22</v>
      </c>
      <c r="G8" s="37" t="s">
        <v>10</v>
      </c>
    </row>
    <row r="9" customFormat="false" ht="19.5" hidden="false" customHeight="true" outlineLevel="0" collapsed="false">
      <c r="A9" s="34" t="s">
        <v>25</v>
      </c>
      <c r="B9" s="35" t="s">
        <v>50</v>
      </c>
      <c r="C9" s="36" t="n">
        <v>2000</v>
      </c>
      <c r="D9" s="34" t="s">
        <v>93</v>
      </c>
      <c r="E9" s="35" t="s">
        <v>104</v>
      </c>
      <c r="F9" s="34" t="s">
        <v>49</v>
      </c>
      <c r="G9" s="34" t="s">
        <v>10</v>
      </c>
    </row>
    <row r="10" customFormat="false" ht="19.5" hidden="false" customHeight="true" outlineLevel="0" collapsed="false">
      <c r="A10" s="37" t="s">
        <v>25</v>
      </c>
      <c r="B10" s="38" t="s">
        <v>52</v>
      </c>
      <c r="C10" s="36" t="n">
        <v>1500</v>
      </c>
      <c r="D10" s="37" t="s">
        <v>93</v>
      </c>
      <c r="E10" s="38" t="s">
        <v>105</v>
      </c>
      <c r="F10" s="37" t="s">
        <v>49</v>
      </c>
      <c r="G10" s="37" t="s">
        <v>10</v>
      </c>
    </row>
    <row r="11" customFormat="false" ht="19.5" hidden="false" customHeight="true" outlineLevel="0" collapsed="false">
      <c r="A11" s="34" t="s">
        <v>71</v>
      </c>
      <c r="B11" s="35" t="s">
        <v>106</v>
      </c>
      <c r="C11" s="36" t="n">
        <v>750</v>
      </c>
      <c r="D11" s="34" t="s">
        <v>107</v>
      </c>
      <c r="E11" s="35" t="s">
        <v>108</v>
      </c>
      <c r="F11" s="34" t="s">
        <v>68</v>
      </c>
      <c r="G11" s="34" t="s">
        <v>10</v>
      </c>
    </row>
    <row r="12" customFormat="false" ht="25.5" hidden="false" customHeight="true" outlineLevel="0" collapsed="false">
      <c r="A12" s="39" t="s">
        <v>109</v>
      </c>
      <c r="B12" s="39"/>
      <c r="C12" s="40" t="n">
        <f aca="false">SUM(C3:C11)</f>
        <v>40750</v>
      </c>
    </row>
  </sheetData>
  <mergeCells count="2">
    <mergeCell ref="A1:G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2026-02-21T10:36:23Z</dcterms:created>
  <dc:creator>openpyxl</dc:creator>
  <dc:description/>
  <dc:language>en-US</dc:language>
  <cp:lastModifiedBy/>
  <dcterms:modified xsi:type="dcterms:W3CDTF">2026-02-21T10:36:23Z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